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docs\chapitre5\"/>
    </mc:Choice>
  </mc:AlternateContent>
  <xr:revisionPtr revIDLastSave="0" documentId="13_ncr:1_{39D53F59-323A-4C85-85BD-E1CC8CD0B09D}" xr6:coauthVersionLast="47" xr6:coauthVersionMax="47" xr10:uidLastSave="{00000000-0000-0000-0000-000000000000}"/>
  <bookViews>
    <workbookView xWindow="-120" yWindow="-120" windowWidth="20730" windowHeight="11160" xr2:uid="{16FCFE8F-CEB1-47DC-8D6D-2FD0316993EE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4" i="2"/>
  <c r="H5" i="2"/>
  <c r="H6" i="2"/>
  <c r="H3" i="2"/>
  <c r="C9" i="2"/>
  <c r="D9" i="2"/>
  <c r="B9" i="2"/>
  <c r="C8" i="2"/>
  <c r="D8" i="2"/>
  <c r="B8" i="2"/>
  <c r="G4" i="2"/>
  <c r="G5" i="2"/>
  <c r="G6" i="2"/>
  <c r="G3" i="2"/>
  <c r="E4" i="2"/>
  <c r="E5" i="2"/>
  <c r="E6" i="2"/>
  <c r="E3" i="2"/>
  <c r="H12" i="1"/>
  <c r="H11" i="1"/>
  <c r="H14" i="1"/>
  <c r="H13" i="1"/>
  <c r="H3" i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<sst xmlns="http://schemas.openxmlformats.org/spreadsheetml/2006/main" count="35" uniqueCount="35">
  <si>
    <t>Numéro</t>
  </si>
  <si>
    <t>Prénom</t>
  </si>
  <si>
    <t>Note 1</t>
  </si>
  <si>
    <t>Note 2</t>
  </si>
  <si>
    <t>Note 3</t>
  </si>
  <si>
    <t>Note 4</t>
  </si>
  <si>
    <t>Note 5</t>
  </si>
  <si>
    <t>Moyenne</t>
  </si>
  <si>
    <t>Résultat</t>
  </si>
  <si>
    <t>Elève1</t>
  </si>
  <si>
    <t>Elève2</t>
  </si>
  <si>
    <t>Elève 3</t>
  </si>
  <si>
    <t>Elève4</t>
  </si>
  <si>
    <t>Elève5</t>
  </si>
  <si>
    <t>Elève6</t>
  </si>
  <si>
    <t>Elève7</t>
  </si>
  <si>
    <t>Elève8</t>
  </si>
  <si>
    <r>
      <t xml:space="preserve">Nombre des moyennes </t>
    </r>
    <r>
      <rPr>
        <sz val="12"/>
        <color theme="1"/>
        <rFont val="Symbol"/>
        <family val="1"/>
        <charset val="2"/>
      </rPr>
      <t>³</t>
    </r>
    <r>
      <rPr>
        <sz val="12"/>
        <color theme="1"/>
        <rFont val="Times New Roman"/>
        <family val="1"/>
      </rPr>
      <t xml:space="preserve"> 10 :</t>
    </r>
  </si>
  <si>
    <t>Nombre des moyennes &lt; 10 :</t>
  </si>
  <si>
    <t>Moyenne maximale</t>
  </si>
  <si>
    <t>Moyenne minimale</t>
  </si>
  <si>
    <t>PC prtable</t>
  </si>
  <si>
    <t>Téléphone</t>
  </si>
  <si>
    <t>Tablette</t>
  </si>
  <si>
    <t>Appareil phota</t>
  </si>
  <si>
    <t>janvier</t>
  </si>
  <si>
    <t>février</t>
  </si>
  <si>
    <t>mars</t>
  </si>
  <si>
    <t>Nombre de vente</t>
  </si>
  <si>
    <t>TOTA</t>
  </si>
  <si>
    <t>Prix unitaire (DH)</t>
  </si>
  <si>
    <t>Prix total</t>
  </si>
  <si>
    <t>état de vente</t>
  </si>
  <si>
    <t>Vente maximale</t>
  </si>
  <si>
    <t>Vente minimale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</si>
</sst>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9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textRotation="180"/>
    </xf>
    <xf numFmtId="0" fontId="1" fillId="2" borderId="2" xfId="0" applyFont="1" applyFill="1" applyBorder="1" applyAlignment="1">
      <alignment horizontal="center" vertical="center" textRotation="180"/>
    </xf>
    <xf numFmtId="0" fontId="1" fillId="2" borderId="2" xfId="0" applyFont="1" applyFill="1" applyBorder="1" applyAlignment="1">
      <alignment horizontal="center" vertical="center" textRotation="180" wrapText="1"/>
    </xf>
    <xf numFmtId="0" fontId="3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164" fontId="1" fillId="2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vertical="center" wrapText="1"/>
    </xf>
    <xf numFmtId="164" fontId="3" fillId="3" borderId="4" xfId="0" applyNumberFormat="1" applyFont="1" applyFill="1" applyBorder="1" applyAlignment="1">
      <alignment vertical="center"/>
    </xf>
    <xf numFmtId="0" fontId="7" fillId="0" borderId="7" xfId="0" applyFont="1" applyBorder="1"/>
    <xf numFmtId="0" fontId="7" fillId="5" borderId="7" xfId="0" applyFont="1" applyFill="1" applyBorder="1"/>
    <xf numFmtId="0" fontId="7" fillId="0" borderId="8" xfId="0" applyFont="1" applyBorder="1"/>
    <xf numFmtId="0" fontId="8" fillId="0" borderId="7" xfId="0" applyFont="1" applyBorder="1"/>
    <xf numFmtId="0" fontId="8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4" borderId="5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E803-C5A0-43F3-9F53-1E70778E5E78}">
  <dimension ref="A1:I15"/>
  <sheetViews>
    <sheetView tabSelected="1" workbookViewId="0">
      <selection activeCell="I2" sqref="I2:I9"/>
    </sheetView>
  </sheetViews>
  <sheetFormatPr baseColWidth="10" defaultRowHeight="15" x14ac:dyDescent="0.25"/>
  <cols>
    <col min="9" max="9" width="19.42578125" customWidth="1"/>
  </cols>
  <sheetData>
    <row r="1" spans="1:9" ht="54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ht="24.75" customHeight="1" thickBot="1" x14ac:dyDescent="0.3">
      <c r="A2" s="4">
        <v>1</v>
      </c>
      <c r="B2" s="5" t="s">
        <v>9</v>
      </c>
      <c r="C2" s="10">
        <v>14</v>
      </c>
      <c r="D2" s="10">
        <v>12</v>
      </c>
      <c r="E2" s="11">
        <v>12</v>
      </c>
      <c r="F2" s="11">
        <v>18</v>
      </c>
      <c r="G2" s="11">
        <v>14</v>
      </c>
      <c r="H2" s="12">
        <f>AVERAGE(C2:G2)</f>
        <v>14</v>
      </c>
      <c r="I2" s="6" t="str">
        <f>IF(H2&gt;=10,"Réussi","échoué")</f>
        <v>Réussi</v>
      </c>
    </row>
    <row r="3" spans="1:9" ht="24.75" customHeight="1" thickBot="1" x14ac:dyDescent="0.3">
      <c r="A3" s="4">
        <v>2</v>
      </c>
      <c r="B3" s="5" t="s">
        <v>10</v>
      </c>
      <c r="C3" s="10">
        <v>18</v>
      </c>
      <c r="D3" s="10">
        <v>14</v>
      </c>
      <c r="E3" s="11">
        <v>12</v>
      </c>
      <c r="F3" s="11">
        <v>14</v>
      </c>
      <c r="G3" s="11">
        <v>17</v>
      </c>
      <c r="H3" s="12">
        <f t="shared" ref="H3:H9" si="0">AVERAGE(C3:G3)</f>
        <v>15</v>
      </c>
      <c r="I3" s="6" t="str">
        <f t="shared" ref="I3:I9" si="1">IF(H3&gt;=10,"Réussi","échoué")</f>
        <v>Réussi</v>
      </c>
    </row>
    <row r="4" spans="1:9" ht="24.75" customHeight="1" thickBot="1" x14ac:dyDescent="0.3">
      <c r="A4" s="4">
        <v>3</v>
      </c>
      <c r="B4" s="5" t="s">
        <v>11</v>
      </c>
      <c r="C4" s="10">
        <v>8</v>
      </c>
      <c r="D4" s="10">
        <v>7</v>
      </c>
      <c r="E4" s="11">
        <v>11</v>
      </c>
      <c r="F4" s="11">
        <v>9</v>
      </c>
      <c r="G4" s="11">
        <v>10</v>
      </c>
      <c r="H4" s="12">
        <f t="shared" si="0"/>
        <v>9</v>
      </c>
      <c r="I4" s="6" t="str">
        <f t="shared" si="1"/>
        <v>échoué</v>
      </c>
    </row>
    <row r="5" spans="1:9" ht="24.75" customHeight="1" thickBot="1" x14ac:dyDescent="0.3">
      <c r="A5" s="4">
        <v>4</v>
      </c>
      <c r="B5" s="5" t="s">
        <v>12</v>
      </c>
      <c r="C5" s="10">
        <v>18</v>
      </c>
      <c r="D5" s="10">
        <v>18</v>
      </c>
      <c r="E5" s="11">
        <v>11</v>
      </c>
      <c r="F5" s="11">
        <v>16</v>
      </c>
      <c r="G5" s="11">
        <v>17</v>
      </c>
      <c r="H5" s="12">
        <f t="shared" si="0"/>
        <v>16</v>
      </c>
      <c r="I5" s="6" t="str">
        <f t="shared" si="1"/>
        <v>Réussi</v>
      </c>
    </row>
    <row r="6" spans="1:9" ht="24.75" customHeight="1" thickBot="1" x14ac:dyDescent="0.3">
      <c r="A6" s="4">
        <v>5</v>
      </c>
      <c r="B6" s="5" t="s">
        <v>13</v>
      </c>
      <c r="C6" s="10">
        <v>17</v>
      </c>
      <c r="D6" s="10">
        <v>18</v>
      </c>
      <c r="E6" s="11">
        <v>15</v>
      </c>
      <c r="F6" s="11">
        <v>9</v>
      </c>
      <c r="G6" s="11">
        <v>16</v>
      </c>
      <c r="H6" s="12">
        <f t="shared" si="0"/>
        <v>15</v>
      </c>
      <c r="I6" s="6" t="str">
        <f t="shared" si="1"/>
        <v>Réussi</v>
      </c>
    </row>
    <row r="7" spans="1:9" ht="24.75" customHeight="1" thickBot="1" x14ac:dyDescent="0.3">
      <c r="A7" s="4">
        <v>6</v>
      </c>
      <c r="B7" s="5" t="s">
        <v>14</v>
      </c>
      <c r="C7" s="10">
        <v>17</v>
      </c>
      <c r="D7" s="10">
        <v>10</v>
      </c>
      <c r="E7" s="11">
        <v>17</v>
      </c>
      <c r="F7" s="11">
        <v>14</v>
      </c>
      <c r="G7" s="11">
        <v>17</v>
      </c>
      <c r="H7" s="12">
        <f t="shared" si="0"/>
        <v>15</v>
      </c>
      <c r="I7" s="6" t="str">
        <f t="shared" si="1"/>
        <v>Réussi</v>
      </c>
    </row>
    <row r="8" spans="1:9" ht="24.75" customHeight="1" thickBot="1" x14ac:dyDescent="0.3">
      <c r="A8" s="4">
        <v>7</v>
      </c>
      <c r="B8" s="5" t="s">
        <v>15</v>
      </c>
      <c r="C8" s="10">
        <v>5</v>
      </c>
      <c r="D8" s="10">
        <v>11</v>
      </c>
      <c r="E8" s="11">
        <v>8</v>
      </c>
      <c r="F8" s="11">
        <v>6</v>
      </c>
      <c r="G8" s="11">
        <v>5</v>
      </c>
      <c r="H8" s="12">
        <f t="shared" si="0"/>
        <v>7</v>
      </c>
      <c r="I8" s="6" t="str">
        <f t="shared" si="1"/>
        <v>échoué</v>
      </c>
    </row>
    <row r="9" spans="1:9" ht="24.75" customHeight="1" thickBot="1" x14ac:dyDescent="0.3">
      <c r="A9" s="4">
        <v>8</v>
      </c>
      <c r="B9" s="5" t="s">
        <v>16</v>
      </c>
      <c r="C9" s="10">
        <v>13</v>
      </c>
      <c r="D9" s="10">
        <v>14</v>
      </c>
      <c r="E9" s="11">
        <v>13</v>
      </c>
      <c r="F9" s="11">
        <v>13</v>
      </c>
      <c r="G9" s="11">
        <v>12</v>
      </c>
      <c r="H9" s="12">
        <f t="shared" si="0"/>
        <v>13</v>
      </c>
      <c r="I9" s="6" t="str">
        <f t="shared" si="1"/>
        <v>Réussi</v>
      </c>
    </row>
    <row r="10" spans="1:9" ht="24.75" customHeight="1" thickBot="1" x14ac:dyDescent="0.3">
      <c r="A10" s="7"/>
      <c r="B10" s="8"/>
      <c r="C10" s="8"/>
      <c r="D10" s="8"/>
      <c r="E10" s="9"/>
      <c r="F10" s="9"/>
      <c r="G10" s="9"/>
      <c r="H10" s="8"/>
      <c r="I10" s="8"/>
    </row>
    <row r="11" spans="1:9" ht="24.75" customHeight="1" thickBot="1" x14ac:dyDescent="0.3">
      <c r="A11" s="18" t="s">
        <v>17</v>
      </c>
      <c r="B11" s="19"/>
      <c r="C11" s="19"/>
      <c r="D11" s="19"/>
      <c r="E11" s="19"/>
      <c r="F11" s="19"/>
      <c r="G11" s="20"/>
      <c r="H11" s="23">
        <f>COUNTIF(H2:H9,"&gt;=10")</f>
        <v>6</v>
      </c>
      <c r="I11" s="22"/>
    </row>
    <row r="12" spans="1:9" ht="24.75" customHeight="1" thickBot="1" x14ac:dyDescent="0.3">
      <c r="A12" s="18" t="s">
        <v>18</v>
      </c>
      <c r="B12" s="19"/>
      <c r="C12" s="19"/>
      <c r="D12" s="19"/>
      <c r="E12" s="19"/>
      <c r="F12" s="19"/>
      <c r="G12" s="20"/>
      <c r="H12" s="23">
        <f>COUNTIF(H2:H9,"&lt;10")</f>
        <v>2</v>
      </c>
      <c r="I12" s="22"/>
    </row>
    <row r="13" spans="1:9" ht="24.75" customHeight="1" thickBot="1" x14ac:dyDescent="0.3">
      <c r="A13" s="18" t="s">
        <v>19</v>
      </c>
      <c r="B13" s="19"/>
      <c r="C13" s="19"/>
      <c r="D13" s="19"/>
      <c r="E13" s="19"/>
      <c r="F13" s="19"/>
      <c r="G13" s="20"/>
      <c r="H13" s="21">
        <f>MAX(H2:H9)</f>
        <v>16</v>
      </c>
      <c r="I13" s="22"/>
    </row>
    <row r="14" spans="1:9" ht="24.75" customHeight="1" thickBot="1" x14ac:dyDescent="0.3">
      <c r="A14" s="18" t="s">
        <v>20</v>
      </c>
      <c r="B14" s="19"/>
      <c r="C14" s="19"/>
      <c r="D14" s="19"/>
      <c r="E14" s="19"/>
      <c r="F14" s="19"/>
      <c r="G14" s="20"/>
      <c r="H14" s="21">
        <f>MIN(H2:H9)</f>
        <v>7</v>
      </c>
      <c r="I14" s="22"/>
    </row>
    <row r="15" spans="1:9" ht="24.75" customHeight="1" x14ac:dyDescent="0.25"/>
  </sheetData>
  <mergeCells count="8">
    <mergeCell ref="A14:G14"/>
    <mergeCell ref="H14:I14"/>
    <mergeCell ref="A11:G11"/>
    <mergeCell ref="H11:I11"/>
    <mergeCell ref="A12:G12"/>
    <mergeCell ref="H12:I12"/>
    <mergeCell ref="A13:G13"/>
    <mergeCell ref="H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25BE-BAAA-4075-AAE4-87DE1D4CC745}">
  <dimension ref="A1:H9"/>
  <sheetViews>
    <sheetView workbookViewId="0">
      <selection activeCell="M12" sqref="M12"/>
    </sheetView>
  </sheetViews>
  <sheetFormatPr baseColWidth="10" defaultRowHeight="15" x14ac:dyDescent="0.25"/>
  <cols>
    <col min="1" max="1" width="30.140625" customWidth="1"/>
    <col min="6" max="6" width="20.140625" customWidth="1"/>
    <col min="7" max="8" width="16.5703125" customWidth="1"/>
  </cols>
  <sheetData>
    <row r="1" spans="1:8" ht="18.75" x14ac:dyDescent="0.3">
      <c r="A1" s="13"/>
      <c r="B1" s="24" t="s">
        <v>28</v>
      </c>
      <c r="C1" s="24"/>
      <c r="D1" s="24"/>
      <c r="E1" s="24" t="s">
        <v>29</v>
      </c>
      <c r="F1" s="24" t="s">
        <v>30</v>
      </c>
      <c r="G1" s="24" t="s">
        <v>31</v>
      </c>
      <c r="H1" s="24" t="s">
        <v>32</v>
      </c>
    </row>
    <row r="2" spans="1:8" ht="18.75" x14ac:dyDescent="0.3">
      <c r="A2" s="13"/>
      <c r="B2" s="17" t="s">
        <v>25</v>
      </c>
      <c r="C2" s="17" t="s">
        <v>26</v>
      </c>
      <c r="D2" s="17" t="s">
        <v>27</v>
      </c>
      <c r="E2" s="24"/>
      <c r="F2" s="24"/>
      <c r="G2" s="24"/>
      <c r="H2" s="24"/>
    </row>
    <row r="3" spans="1:8" ht="18.75" x14ac:dyDescent="0.3">
      <c r="A3" s="16" t="s">
        <v>21</v>
      </c>
      <c r="B3" s="13">
        <v>20</v>
      </c>
      <c r="C3" s="13">
        <v>45</v>
      </c>
      <c r="D3" s="13">
        <v>150</v>
      </c>
      <c r="E3" s="14">
        <f>SUM(B3:D3)</f>
        <v>215</v>
      </c>
      <c r="F3" s="13">
        <v>5000</v>
      </c>
      <c r="G3" s="14">
        <f>PRODUCT(E3:F3)</f>
        <v>1075000</v>
      </c>
      <c r="H3" s="14" t="str">
        <f>IF(E3&gt;=200,"Excellent","Insuffisant")</f>
        <v>Excellent</v>
      </c>
    </row>
    <row r="4" spans="1:8" ht="18.75" x14ac:dyDescent="0.3">
      <c r="A4" s="16" t="s">
        <v>22</v>
      </c>
      <c r="B4" s="13">
        <v>130</v>
      </c>
      <c r="C4" s="13">
        <v>96</v>
      </c>
      <c r="D4" s="13">
        <v>120</v>
      </c>
      <c r="E4" s="14">
        <f t="shared" ref="E4:E6" si="0">SUM(B4:D4)</f>
        <v>346</v>
      </c>
      <c r="F4" s="13">
        <v>2000</v>
      </c>
      <c r="G4" s="14">
        <f t="shared" ref="G4:G6" si="1">PRODUCT(E4:F4)</f>
        <v>692000</v>
      </c>
      <c r="H4" s="14" t="str">
        <f t="shared" ref="H4:H6" si="2">IF(E4&gt;=200,"Excellent","Insuffisant")</f>
        <v>Excellent</v>
      </c>
    </row>
    <row r="5" spans="1:8" ht="18.75" x14ac:dyDescent="0.3">
      <c r="A5" s="16" t="s">
        <v>23</v>
      </c>
      <c r="B5" s="13">
        <v>75</v>
      </c>
      <c r="C5" s="13">
        <v>70</v>
      </c>
      <c r="D5" s="13">
        <v>50</v>
      </c>
      <c r="E5" s="14">
        <f t="shared" si="0"/>
        <v>195</v>
      </c>
      <c r="F5" s="13">
        <v>3500</v>
      </c>
      <c r="G5" s="14">
        <f t="shared" si="1"/>
        <v>682500</v>
      </c>
      <c r="H5" s="14" t="str">
        <f t="shared" si="2"/>
        <v>Insuffisant</v>
      </c>
    </row>
    <row r="6" spans="1:8" ht="18.75" x14ac:dyDescent="0.3">
      <c r="A6" s="16" t="s">
        <v>24</v>
      </c>
      <c r="B6" s="13">
        <v>36</v>
      </c>
      <c r="C6" s="13">
        <v>28</v>
      </c>
      <c r="D6" s="13">
        <v>80</v>
      </c>
      <c r="E6" s="14">
        <f t="shared" si="0"/>
        <v>144</v>
      </c>
      <c r="F6" s="13">
        <v>1200</v>
      </c>
      <c r="G6" s="14">
        <f t="shared" si="1"/>
        <v>172800</v>
      </c>
      <c r="H6" s="14" t="str">
        <f t="shared" si="2"/>
        <v>Insuffisant</v>
      </c>
    </row>
    <row r="7" spans="1:8" ht="18.75" x14ac:dyDescent="0.3">
      <c r="A7" s="16"/>
      <c r="B7" s="13"/>
      <c r="C7" s="13"/>
      <c r="D7" s="13"/>
      <c r="E7" s="13"/>
      <c r="F7" s="13"/>
      <c r="G7" s="13"/>
      <c r="H7" s="13"/>
    </row>
    <row r="8" spans="1:8" ht="18.75" x14ac:dyDescent="0.3">
      <c r="A8" s="16" t="s">
        <v>33</v>
      </c>
      <c r="B8" s="14">
        <f>MAX(B3:B6)</f>
        <v>130</v>
      </c>
      <c r="C8" s="14">
        <f t="shared" ref="C8:D8" si="3">MAX(C3:C6)</f>
        <v>96</v>
      </c>
      <c r="D8" s="14">
        <f t="shared" si="3"/>
        <v>150</v>
      </c>
      <c r="E8" s="15"/>
      <c r="F8" s="15"/>
      <c r="G8" s="15"/>
      <c r="H8" s="15"/>
    </row>
    <row r="9" spans="1:8" ht="18.75" x14ac:dyDescent="0.3">
      <c r="A9" s="16" t="s">
        <v>34</v>
      </c>
      <c r="B9" s="14">
        <f>MIN(B3:B6)</f>
        <v>20</v>
      </c>
      <c r="C9" s="14">
        <f t="shared" ref="C9:D9" si="4">MIN(C3:C6)</f>
        <v>28</v>
      </c>
      <c r="D9" s="14">
        <f t="shared" si="4"/>
        <v>50</v>
      </c>
      <c r="E9" s="15"/>
      <c r="F9" s="15"/>
      <c r="G9" s="15"/>
      <c r="H9" s="15"/>
    </row>
  </sheetData>
  <mergeCells count="5">
    <mergeCell ref="B1:D1"/>
    <mergeCell ref="E1:E2"/>
    <mergeCell ref="F1:F2"/>
    <mergeCell ref="G1:G2"/>
    <mergeCell ref="H1:H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[Auteur du cours]</dc:creator>
  <cp:lastModifiedBy>[Auteur du cours]</cp:lastModifiedBy>
  <dcterms:created xsi:type="dcterms:W3CDTF">2025-09-18T08:56:23Z</dcterms:created>
  <dcterms:modified xsi:type="dcterms:W3CDTF">2025-09-18T10:47:24Z</dcterms:modified>
</cp:coreProperties>
</file>