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tdocs\chapitre5\TPEXC\"/>
    </mc:Choice>
  </mc:AlternateContent>
  <xr:revisionPtr revIDLastSave="0" documentId="13_ncr:1_{3A29A1C4-B195-4623-8C65-411799A78AA5}" xr6:coauthVersionLast="47" xr6:coauthVersionMax="47" xr10:uidLastSave="{00000000-0000-0000-0000-000000000000}"/>
  <bookViews>
    <workbookView xWindow="-120" yWindow="-120" windowWidth="20730" windowHeight="11160" activeTab="1" xr2:uid="{3617B6CF-DB13-4391-AA9C-BF0012457412}"/>
  </bookViews>
  <sheets>
    <sheet name="NoteElève " sheetId="1" r:id="rId1"/>
    <sheet name="Ventes" sheetId="2" r:id="rId2"/>
    <sheet name="Montan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9" i="2" s="1"/>
  <c r="E7" i="2"/>
  <c r="G3" i="2"/>
  <c r="H3" i="2" s="1"/>
  <c r="G4" i="2"/>
  <c r="H4" i="2" s="1"/>
  <c r="G5" i="2"/>
  <c r="G7" i="2"/>
  <c r="H7" i="2"/>
  <c r="I7" i="2" s="1"/>
  <c r="C9" i="3"/>
  <c r="C6" i="3"/>
  <c r="C7" i="3"/>
  <c r="C8" i="3"/>
  <c r="C5" i="3"/>
  <c r="I12" i="1"/>
  <c r="H3" i="1"/>
  <c r="I3" i="1"/>
  <c r="H4" i="1"/>
  <c r="I4" i="1"/>
  <c r="H5" i="1"/>
  <c r="I5" i="1"/>
  <c r="H6" i="1"/>
  <c r="I6" i="1"/>
  <c r="H7" i="1"/>
  <c r="I7" i="1"/>
  <c r="H8" i="1"/>
  <c r="I8" i="1"/>
  <c r="H9" i="1"/>
  <c r="I9" i="1"/>
  <c r="H10" i="1"/>
  <c r="I10" i="1"/>
  <c r="G6" i="2" l="1"/>
  <c r="H6" i="2" s="1"/>
  <c r="I6" i="2" s="1"/>
  <c r="H5" i="2"/>
  <c r="I5" i="2" s="1"/>
  <c r="I3" i="2"/>
  <c r="I4" i="2"/>
  <c r="I9" i="2" l="1"/>
</calcChain>
</file>

<file path=xl/sharedStrings.xml><?xml version="1.0" encoding="utf-8"?>
<sst xmlns="http://schemas.openxmlformats.org/spreadsheetml/2006/main" count="44" uniqueCount="43">
  <si>
    <t>prénom</t>
  </si>
  <si>
    <t>note1</t>
  </si>
  <si>
    <t>note2</t>
  </si>
  <si>
    <t>note3</t>
  </si>
  <si>
    <t>note4</t>
  </si>
  <si>
    <t>note5</t>
  </si>
  <si>
    <t>numéro</t>
  </si>
  <si>
    <t>somme</t>
  </si>
  <si>
    <t>moyenne</t>
  </si>
  <si>
    <t>Karim</t>
  </si>
  <si>
    <t>Adil</t>
  </si>
  <si>
    <t>Jallal</t>
  </si>
  <si>
    <t>Nadia</t>
  </si>
  <si>
    <t>Safae</t>
  </si>
  <si>
    <t>Said</t>
  </si>
  <si>
    <t>Fatima</t>
  </si>
  <si>
    <t>Chaymae</t>
  </si>
  <si>
    <t>moyenne de la classe</t>
  </si>
  <si>
    <t>Quantité</t>
  </si>
  <si>
    <t>Article</t>
  </si>
  <si>
    <t>PC Portable</t>
  </si>
  <si>
    <t>téléphone Portable</t>
  </si>
  <si>
    <t>Tablette</t>
  </si>
  <si>
    <t>Appareil photo</t>
  </si>
  <si>
    <t>Clé USB</t>
  </si>
  <si>
    <t>Prix Total HT</t>
  </si>
  <si>
    <t>Prix Total TTC</t>
  </si>
  <si>
    <t>lundi</t>
  </si>
  <si>
    <t>Mardi</t>
  </si>
  <si>
    <t>Mercredi</t>
  </si>
  <si>
    <t>TOTAL</t>
  </si>
  <si>
    <t>Nombre Total D'articles</t>
  </si>
  <si>
    <t>Prix total</t>
  </si>
  <si>
    <t>TVA(2%)</t>
  </si>
  <si>
    <t>NOM</t>
  </si>
  <si>
    <t>JOURS</t>
  </si>
  <si>
    <t>MONTANT</t>
  </si>
  <si>
    <t>Tarif Journalier</t>
  </si>
  <si>
    <t>Ahmed</t>
  </si>
  <si>
    <t>Omar</t>
  </si>
  <si>
    <t>Khalid</t>
  </si>
  <si>
    <t>Mounir</t>
  </si>
  <si>
    <t>Prix Unitaire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</si>
</sst>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"/>
    <numFmt numFmtId="165" formatCode="00.00"/>
    <numFmt numFmtId="166" formatCode="#,##0.00\ &quot;€&quot;"/>
    <numFmt numFmtId="167" formatCode="_-* #,##0.00\ [$DH]_-;\-* #,##0.00\ [$DH]_-;_-* &quot;-&quot;??\ [$DH]_-;_-@_-"/>
    <numFmt numFmtId="168" formatCode="_-* #,##0.00\ [$DH-380C]_-;\-* #,##0.00\ [$DH-380C]_-;_-* &quot;-&quot;??\ [$DH-380C]_-;_-@_-"/>
  </numFmts>
  <fonts count="7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ouble">
        <color auto="1"/>
      </left>
      <right style="dashed">
        <color auto="1"/>
      </right>
      <top style="dashed">
        <color auto="1"/>
      </top>
      <bottom style="double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ouble">
        <color auto="1"/>
      </bottom>
      <diagonal/>
    </border>
    <border>
      <left style="dashed">
        <color auto="1"/>
      </left>
      <right style="double">
        <color auto="1"/>
      </right>
      <top style="dashed">
        <color auto="1"/>
      </top>
      <bottom style="double">
        <color auto="1"/>
      </bottom>
      <diagonal/>
    </border>
    <border>
      <left style="double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ouble">
        <color auto="1"/>
      </right>
      <top/>
      <bottom style="dashed">
        <color auto="1"/>
      </bottom>
      <diagonal/>
    </border>
    <border>
      <left style="double">
        <color auto="1"/>
      </left>
      <right style="dashed">
        <color auto="1"/>
      </right>
      <top style="double">
        <color auto="1"/>
      </top>
      <bottom style="double">
        <color auto="1"/>
      </bottom>
      <diagonal/>
    </border>
    <border>
      <left style="dashed">
        <color auto="1"/>
      </left>
      <right style="dashed">
        <color auto="1"/>
      </right>
      <top style="double">
        <color auto="1"/>
      </top>
      <bottom style="double">
        <color auto="1"/>
      </bottom>
      <diagonal/>
    </border>
    <border>
      <left style="dashed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/>
    <xf numFmtId="0" fontId="3" fillId="0" borderId="1" xfId="0" applyFont="1" applyBorder="1"/>
    <xf numFmtId="0" fontId="3" fillId="2" borderId="1" xfId="0" applyFont="1" applyFill="1" applyBorder="1" applyAlignment="1">
      <alignment textRotation="135"/>
    </xf>
    <xf numFmtId="165" fontId="3" fillId="0" borderId="1" xfId="0" applyNumberFormat="1" applyFont="1" applyBorder="1"/>
    <xf numFmtId="164" fontId="3" fillId="3" borderId="1" xfId="0" applyNumberFormat="1" applyFont="1" applyFill="1" applyBorder="1"/>
    <xf numFmtId="0" fontId="3" fillId="4" borderId="1" xfId="0" applyFont="1" applyFill="1" applyBorder="1" applyAlignment="1">
      <alignment horizontal="center"/>
    </xf>
    <xf numFmtId="165" fontId="3" fillId="4" borderId="1" xfId="0" applyNumberFormat="1" applyFont="1" applyFill="1" applyBorder="1"/>
    <xf numFmtId="0" fontId="2" fillId="0" borderId="0" xfId="0" applyFont="1"/>
    <xf numFmtId="164" fontId="2" fillId="0" borderId="1" xfId="0" applyNumberFormat="1" applyFont="1" applyBorder="1"/>
    <xf numFmtId="166" fontId="2" fillId="0" borderId="1" xfId="0" applyNumberFormat="1" applyFont="1" applyBorder="1"/>
    <xf numFmtId="0" fontId="2" fillId="5" borderId="1" xfId="0" applyFont="1" applyFill="1" applyBorder="1"/>
    <xf numFmtId="0" fontId="2" fillId="5" borderId="3" xfId="0" applyFont="1" applyFill="1" applyBorder="1"/>
    <xf numFmtId="164" fontId="2" fillId="0" borderId="3" xfId="0" applyNumberFormat="1" applyFont="1" applyBorder="1"/>
    <xf numFmtId="166" fontId="2" fillId="0" borderId="3" xfId="0" applyNumberFormat="1" applyFont="1" applyBorder="1"/>
    <xf numFmtId="0" fontId="3" fillId="0" borderId="1" xfId="0" applyFont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164" fontId="4" fillId="0" borderId="1" xfId="0" applyNumberFormat="1" applyFont="1" applyBorder="1"/>
    <xf numFmtId="166" fontId="4" fillId="0" borderId="1" xfId="0" applyNumberFormat="1" applyFont="1" applyBorder="1"/>
    <xf numFmtId="167" fontId="5" fillId="0" borderId="7" xfId="0" applyNumberFormat="1" applyFont="1" applyBorder="1"/>
    <xf numFmtId="0" fontId="0" fillId="0" borderId="8" xfId="0" applyBorder="1"/>
    <xf numFmtId="0" fontId="0" fillId="0" borderId="9" xfId="0" applyBorder="1"/>
    <xf numFmtId="0" fontId="0" fillId="0" borderId="13" xfId="0" applyBorder="1"/>
    <xf numFmtId="0" fontId="0" fillId="0" borderId="14" xfId="0" applyBorder="1"/>
    <xf numFmtId="0" fontId="0" fillId="8" borderId="16" xfId="0" applyFill="1" applyBorder="1"/>
    <xf numFmtId="0" fontId="0" fillId="8" borderId="17" xfId="0" applyFill="1" applyBorder="1"/>
    <xf numFmtId="0" fontId="0" fillId="8" borderId="18" xfId="0" applyFill="1" applyBorder="1"/>
    <xf numFmtId="168" fontId="0" fillId="0" borderId="15" xfId="0" applyNumberFormat="1" applyBorder="1"/>
    <xf numFmtId="168" fontId="0" fillId="8" borderId="12" xfId="0" applyNumberFormat="1" applyFill="1" applyBorder="1"/>
    <xf numFmtId="0" fontId="3" fillId="4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textRotation="180"/>
    </xf>
    <xf numFmtId="0" fontId="2" fillId="7" borderId="1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7" borderId="3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8" borderId="10" xfId="0" applyFill="1" applyBorder="1" applyAlignment="1">
      <alignment horizontal="center"/>
    </xf>
    <xf numFmtId="0" fontId="0" fillId="8" borderId="11" xfId="0" applyFill="1" applyBorder="1" applyAlignment="1">
      <alignment horizontal="center"/>
    </xf>
  </cellXfs>
  <cellStyles count="1"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79E91-F546-498E-B03B-50F2A7CF715F}">
  <dimension ref="A1:I12"/>
  <sheetViews>
    <sheetView workbookViewId="0">
      <selection activeCell="D15" sqref="D15"/>
    </sheetView>
  </sheetViews>
  <sheetFormatPr baseColWidth="10" defaultRowHeight="15" x14ac:dyDescent="0.25"/>
  <sheetData>
    <row r="1" spans="1:9" ht="15.75" thickBot="1" x14ac:dyDescent="0.3"/>
    <row r="2" spans="1:9" ht="56.25" thickBot="1" x14ac:dyDescent="0.3">
      <c r="A2" s="4" t="s">
        <v>6</v>
      </c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7</v>
      </c>
      <c r="I2" s="4" t="s">
        <v>8</v>
      </c>
    </row>
    <row r="3" spans="1:9" ht="19.5" thickBot="1" x14ac:dyDescent="0.35">
      <c r="A3" s="6">
        <v>1</v>
      </c>
      <c r="B3" s="3" t="s">
        <v>9</v>
      </c>
      <c r="C3" s="5">
        <v>14</v>
      </c>
      <c r="D3" s="5">
        <v>15</v>
      </c>
      <c r="E3" s="5">
        <v>17</v>
      </c>
      <c r="F3" s="5">
        <v>13</v>
      </c>
      <c r="G3" s="5">
        <v>11</v>
      </c>
      <c r="H3" s="5">
        <f>C3+D3+E3+F3+G3</f>
        <v>70</v>
      </c>
      <c r="I3" s="5">
        <f>H3/5</f>
        <v>14</v>
      </c>
    </row>
    <row r="4" spans="1:9" ht="19.5" thickBot="1" x14ac:dyDescent="0.35">
      <c r="A4" s="6">
        <v>2</v>
      </c>
      <c r="B4" s="3" t="s">
        <v>10</v>
      </c>
      <c r="C4" s="5">
        <v>14</v>
      </c>
      <c r="D4" s="5">
        <v>16</v>
      </c>
      <c r="E4" s="5">
        <v>17</v>
      </c>
      <c r="F4" s="5">
        <v>14</v>
      </c>
      <c r="G4" s="5">
        <v>11.5</v>
      </c>
      <c r="H4" s="5">
        <f t="shared" ref="H4:H10" si="0">C4+D4+E4+F4+G4</f>
        <v>72.5</v>
      </c>
      <c r="I4" s="5">
        <f t="shared" ref="I4:I10" si="1">H4/5</f>
        <v>14.5</v>
      </c>
    </row>
    <row r="5" spans="1:9" ht="19.5" thickBot="1" x14ac:dyDescent="0.35">
      <c r="A5" s="6">
        <v>3</v>
      </c>
      <c r="B5" s="3" t="s">
        <v>11</v>
      </c>
      <c r="C5" s="5">
        <v>13</v>
      </c>
      <c r="D5" s="5">
        <v>18</v>
      </c>
      <c r="E5" s="5">
        <v>14</v>
      </c>
      <c r="F5" s="5">
        <v>18</v>
      </c>
      <c r="G5" s="5">
        <v>17</v>
      </c>
      <c r="H5" s="5">
        <f t="shared" si="0"/>
        <v>80</v>
      </c>
      <c r="I5" s="5">
        <f t="shared" si="1"/>
        <v>16</v>
      </c>
    </row>
    <row r="6" spans="1:9" ht="19.5" thickBot="1" x14ac:dyDescent="0.35">
      <c r="A6" s="6">
        <v>4</v>
      </c>
      <c r="B6" s="3" t="s">
        <v>12</v>
      </c>
      <c r="C6" s="5">
        <v>8</v>
      </c>
      <c r="D6" s="5">
        <v>12</v>
      </c>
      <c r="E6" s="5">
        <v>10.5</v>
      </c>
      <c r="F6" s="5">
        <v>7</v>
      </c>
      <c r="G6" s="5">
        <v>5</v>
      </c>
      <c r="H6" s="5">
        <f t="shared" si="0"/>
        <v>42.5</v>
      </c>
      <c r="I6" s="5">
        <f t="shared" si="1"/>
        <v>8.5</v>
      </c>
    </row>
    <row r="7" spans="1:9" ht="19.5" thickBot="1" x14ac:dyDescent="0.35">
      <c r="A7" s="6">
        <v>5</v>
      </c>
      <c r="B7" s="3" t="s">
        <v>13</v>
      </c>
      <c r="C7" s="5">
        <v>16</v>
      </c>
      <c r="D7" s="5">
        <v>8</v>
      </c>
      <c r="E7" s="5">
        <v>18</v>
      </c>
      <c r="F7" s="5">
        <v>15</v>
      </c>
      <c r="G7" s="5">
        <v>18</v>
      </c>
      <c r="H7" s="5">
        <f t="shared" si="0"/>
        <v>75</v>
      </c>
      <c r="I7" s="5">
        <f t="shared" si="1"/>
        <v>15</v>
      </c>
    </row>
    <row r="8" spans="1:9" ht="19.5" thickBot="1" x14ac:dyDescent="0.35">
      <c r="A8" s="6">
        <v>6</v>
      </c>
      <c r="B8" s="3" t="s">
        <v>14</v>
      </c>
      <c r="C8" s="5">
        <v>10</v>
      </c>
      <c r="D8" s="5">
        <v>11</v>
      </c>
      <c r="E8" s="5">
        <v>5</v>
      </c>
      <c r="F8" s="5">
        <v>11</v>
      </c>
      <c r="G8" s="5">
        <v>8</v>
      </c>
      <c r="H8" s="5">
        <f t="shared" si="0"/>
        <v>45</v>
      </c>
      <c r="I8" s="5">
        <f t="shared" si="1"/>
        <v>9</v>
      </c>
    </row>
    <row r="9" spans="1:9" ht="19.5" thickBot="1" x14ac:dyDescent="0.35">
      <c r="A9" s="6">
        <v>7</v>
      </c>
      <c r="B9" s="3" t="s">
        <v>15</v>
      </c>
      <c r="C9" s="5">
        <v>15</v>
      </c>
      <c r="D9" s="5">
        <v>10</v>
      </c>
      <c r="E9" s="5">
        <v>18</v>
      </c>
      <c r="F9" s="5">
        <v>13</v>
      </c>
      <c r="G9" s="5">
        <v>14</v>
      </c>
      <c r="H9" s="5">
        <f t="shared" si="0"/>
        <v>70</v>
      </c>
      <c r="I9" s="5">
        <f t="shared" si="1"/>
        <v>14</v>
      </c>
    </row>
    <row r="10" spans="1:9" ht="19.5" thickBot="1" x14ac:dyDescent="0.35">
      <c r="A10" s="6">
        <v>8</v>
      </c>
      <c r="B10" s="3" t="s">
        <v>16</v>
      </c>
      <c r="C10" s="5">
        <v>19</v>
      </c>
      <c r="D10" s="5">
        <v>14</v>
      </c>
      <c r="E10" s="5">
        <v>17</v>
      </c>
      <c r="F10" s="5">
        <v>18</v>
      </c>
      <c r="G10" s="5">
        <v>17</v>
      </c>
      <c r="H10" s="5">
        <f t="shared" si="0"/>
        <v>85</v>
      </c>
      <c r="I10" s="5">
        <f t="shared" si="1"/>
        <v>17</v>
      </c>
    </row>
    <row r="11" spans="1:9" ht="19.5" thickBot="1" x14ac:dyDescent="0.35">
      <c r="A11" s="3"/>
      <c r="B11" s="3"/>
      <c r="C11" s="3"/>
      <c r="D11" s="3"/>
      <c r="E11" s="3"/>
      <c r="F11" s="3"/>
      <c r="G11" s="3"/>
      <c r="H11" s="3"/>
      <c r="I11" s="3"/>
    </row>
    <row r="12" spans="1:9" ht="19.5" thickBot="1" x14ac:dyDescent="0.35">
      <c r="A12" s="3"/>
      <c r="B12" s="30" t="s">
        <v>17</v>
      </c>
      <c r="C12" s="30"/>
      <c r="D12" s="30"/>
      <c r="E12" s="30"/>
      <c r="F12" s="30"/>
      <c r="G12" s="30"/>
      <c r="H12" s="30"/>
      <c r="I12" s="8">
        <f>(I3+I4+I5+I6+I7+I8+I9+I10)/8</f>
        <v>13.5</v>
      </c>
    </row>
  </sheetData>
  <mergeCells count="1">
    <mergeCell ref="B12:H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B3482-F352-4C5A-A014-427ACBB2563E}">
  <dimension ref="A1:I15"/>
  <sheetViews>
    <sheetView tabSelected="1" workbookViewId="0">
      <selection activeCell="F1" sqref="F1:F1048576"/>
    </sheetView>
  </sheetViews>
  <sheetFormatPr baseColWidth="10" defaultRowHeight="15" x14ac:dyDescent="0.25"/>
  <cols>
    <col min="1" max="1" width="22.28515625" customWidth="1"/>
    <col min="6" max="6" width="13.85546875" customWidth="1"/>
    <col min="7" max="7" width="16.28515625" customWidth="1"/>
    <col min="9" max="9" width="17" customWidth="1"/>
  </cols>
  <sheetData>
    <row r="1" spans="1:9" s="9" customFormat="1" ht="27" customHeight="1" thickBot="1" x14ac:dyDescent="0.35">
      <c r="A1" s="16"/>
      <c r="B1" s="31" t="s">
        <v>18</v>
      </c>
      <c r="C1" s="31"/>
      <c r="D1" s="31"/>
      <c r="E1" s="32" t="s">
        <v>30</v>
      </c>
      <c r="F1" s="37" t="s">
        <v>42</v>
      </c>
      <c r="G1" s="37" t="s">
        <v>25</v>
      </c>
      <c r="H1" s="37" t="s">
        <v>33</v>
      </c>
      <c r="I1" s="37" t="s">
        <v>26</v>
      </c>
    </row>
    <row r="2" spans="1:9" s="9" customFormat="1" ht="19.5" thickBot="1" x14ac:dyDescent="0.35">
      <c r="A2" s="17" t="s">
        <v>19</v>
      </c>
      <c r="B2" s="7" t="s">
        <v>27</v>
      </c>
      <c r="C2" s="7" t="s">
        <v>28</v>
      </c>
      <c r="D2" s="7" t="s">
        <v>29</v>
      </c>
      <c r="E2" s="32"/>
      <c r="F2" s="38"/>
      <c r="G2" s="38"/>
      <c r="H2" s="38"/>
      <c r="I2" s="38"/>
    </row>
    <row r="3" spans="1:9" s="9" customFormat="1" ht="19.5" thickBot="1" x14ac:dyDescent="0.35">
      <c r="A3" s="12" t="s">
        <v>20</v>
      </c>
      <c r="B3" s="10">
        <v>5</v>
      </c>
      <c r="C3" s="10">
        <v>2</v>
      </c>
      <c r="D3" s="10">
        <v>6</v>
      </c>
      <c r="E3" s="18">
        <f>B3+C3+D3</f>
        <v>13</v>
      </c>
      <c r="F3" s="11">
        <v>500</v>
      </c>
      <c r="G3" s="19">
        <f>E3*F3</f>
        <v>6500</v>
      </c>
      <c r="H3" s="19">
        <f>G3*2%</f>
        <v>130</v>
      </c>
      <c r="I3" s="19">
        <f>G3+H3</f>
        <v>6630</v>
      </c>
    </row>
    <row r="4" spans="1:9" s="9" customFormat="1" ht="19.5" thickBot="1" x14ac:dyDescent="0.35">
      <c r="A4" s="12" t="s">
        <v>21</v>
      </c>
      <c r="B4" s="10">
        <v>4</v>
      </c>
      <c r="C4" s="10">
        <v>11</v>
      </c>
      <c r="D4" s="10">
        <v>8</v>
      </c>
      <c r="E4" s="18">
        <f t="shared" ref="E4:E7" si="0">B4+C4+D4</f>
        <v>23</v>
      </c>
      <c r="F4" s="11">
        <v>200</v>
      </c>
      <c r="G4" s="19">
        <f t="shared" ref="G4:G7" si="1">E4*F4</f>
        <v>4600</v>
      </c>
      <c r="H4" s="19">
        <f t="shared" ref="H4:H7" si="2">G4*2%</f>
        <v>92</v>
      </c>
      <c r="I4" s="19">
        <f t="shared" ref="I4:I7" si="3">G4+H4</f>
        <v>4692</v>
      </c>
    </row>
    <row r="5" spans="1:9" s="9" customFormat="1" ht="19.5" thickBot="1" x14ac:dyDescent="0.35">
      <c r="A5" s="12" t="s">
        <v>22</v>
      </c>
      <c r="B5" s="10">
        <v>6</v>
      </c>
      <c r="C5" s="10">
        <v>4</v>
      </c>
      <c r="D5" s="10">
        <v>3</v>
      </c>
      <c r="E5" s="18">
        <f t="shared" si="0"/>
        <v>13</v>
      </c>
      <c r="F5" s="11">
        <v>350</v>
      </c>
      <c r="G5" s="19">
        <f t="shared" si="1"/>
        <v>4550</v>
      </c>
      <c r="H5" s="19">
        <f t="shared" si="2"/>
        <v>91</v>
      </c>
      <c r="I5" s="19">
        <f t="shared" si="3"/>
        <v>4641</v>
      </c>
    </row>
    <row r="6" spans="1:9" s="9" customFormat="1" ht="19.5" thickBot="1" x14ac:dyDescent="0.35">
      <c r="A6" s="12" t="s">
        <v>23</v>
      </c>
      <c r="B6" s="10">
        <v>2</v>
      </c>
      <c r="C6" s="10">
        <v>3</v>
      </c>
      <c r="D6" s="10">
        <v>1</v>
      </c>
      <c r="E6" s="18">
        <f t="shared" si="0"/>
        <v>6</v>
      </c>
      <c r="F6" s="11">
        <v>120</v>
      </c>
      <c r="G6" s="19">
        <f t="shared" si="1"/>
        <v>720</v>
      </c>
      <c r="H6" s="19">
        <f t="shared" si="2"/>
        <v>14.4</v>
      </c>
      <c r="I6" s="19">
        <f t="shared" si="3"/>
        <v>734.4</v>
      </c>
    </row>
    <row r="7" spans="1:9" s="9" customFormat="1" ht="19.5" thickBot="1" x14ac:dyDescent="0.35">
      <c r="A7" s="13" t="s">
        <v>24</v>
      </c>
      <c r="B7" s="14">
        <v>10</v>
      </c>
      <c r="C7" s="14">
        <v>15</v>
      </c>
      <c r="D7" s="14">
        <v>12</v>
      </c>
      <c r="E7" s="18">
        <f t="shared" si="0"/>
        <v>37</v>
      </c>
      <c r="F7" s="15">
        <v>10</v>
      </c>
      <c r="G7" s="19">
        <f t="shared" si="1"/>
        <v>370</v>
      </c>
      <c r="H7" s="19">
        <f t="shared" si="2"/>
        <v>7.4</v>
      </c>
      <c r="I7" s="19">
        <f t="shared" si="3"/>
        <v>377.4</v>
      </c>
    </row>
    <row r="8" spans="1:9" s="9" customFormat="1" ht="19.5" thickBot="1" x14ac:dyDescent="0.35">
      <c r="A8" s="34"/>
      <c r="B8" s="35"/>
      <c r="C8" s="35"/>
      <c r="D8" s="35"/>
      <c r="E8" s="35"/>
      <c r="F8" s="35"/>
      <c r="G8" s="35"/>
      <c r="H8" s="35"/>
      <c r="I8" s="36"/>
    </row>
    <row r="9" spans="1:9" s="9" customFormat="1" ht="19.5" thickBot="1" x14ac:dyDescent="0.35">
      <c r="A9" s="2"/>
      <c r="B9" s="33" t="s">
        <v>31</v>
      </c>
      <c r="C9" s="33"/>
      <c r="D9" s="33"/>
      <c r="E9" s="18">
        <f>E3+E4+E5+E6+E7</f>
        <v>92</v>
      </c>
      <c r="F9" s="33" t="s">
        <v>32</v>
      </c>
      <c r="G9" s="33"/>
      <c r="H9" s="33"/>
      <c r="I9" s="19">
        <f>I3+I4+I5+I6+I7</f>
        <v>17074.800000000003</v>
      </c>
    </row>
    <row r="10" spans="1:9" s="9" customFormat="1" ht="18.75" x14ac:dyDescent="0.3"/>
    <row r="11" spans="1:9" s="9" customFormat="1" ht="18.75" x14ac:dyDescent="0.3"/>
    <row r="12" spans="1:9" s="9" customFormat="1" ht="18.75" x14ac:dyDescent="0.3"/>
    <row r="13" spans="1:9" s="9" customFormat="1" ht="18.75" x14ac:dyDescent="0.3"/>
    <row r="14" spans="1:9" s="9" customFormat="1" ht="18.75" x14ac:dyDescent="0.3"/>
    <row r="15" spans="1:9" s="9" customFormat="1" ht="18.75" x14ac:dyDescent="0.3"/>
  </sheetData>
  <mergeCells count="9">
    <mergeCell ref="B1:D1"/>
    <mergeCell ref="E1:E2"/>
    <mergeCell ref="B9:D9"/>
    <mergeCell ref="F9:H9"/>
    <mergeCell ref="A8:I8"/>
    <mergeCell ref="I1:I2"/>
    <mergeCell ref="H1:H2"/>
    <mergeCell ref="G1:G2"/>
    <mergeCell ref="F1:F2"/>
  </mergeCells>
  <phoneticPr fontId="1" type="noConversion"/>
  <conditionalFormatting sqref="B3:D7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{FC02013F-44CD-451E-A125-02BC0B508202}</x14:id>
        </ext>
      </extLst>
    </cfRule>
  </conditionalFormatting>
  <conditionalFormatting sqref="E3:E7">
    <cfRule type="cellIs" dxfId="0" priority="2" operator="greaterThan">
      <formula>20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C02013F-44CD-451E-A125-02BC0B50820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B3:D7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BA0E3-9840-4D29-B220-FFFA9FA15AAE}">
  <dimension ref="A1:C10"/>
  <sheetViews>
    <sheetView showGridLines="0" zoomScale="120" zoomScaleNormal="120" workbookViewId="0">
      <selection activeCell="F14" sqref="F14"/>
    </sheetView>
  </sheetViews>
  <sheetFormatPr baseColWidth="10" defaultRowHeight="15" x14ac:dyDescent="0.25"/>
  <cols>
    <col min="3" max="3" width="14.140625" bestFit="1" customWidth="1"/>
  </cols>
  <sheetData>
    <row r="1" spans="1:3" ht="15.75" thickBot="1" x14ac:dyDescent="0.3"/>
    <row r="2" spans="1:3" ht="16.5" thickTop="1" thickBot="1" x14ac:dyDescent="0.3">
      <c r="A2" s="39" t="s">
        <v>37</v>
      </c>
      <c r="B2" s="39"/>
      <c r="C2" s="20">
        <v>500</v>
      </c>
    </row>
    <row r="3" spans="1:3" ht="16.5" thickTop="1" thickBot="1" x14ac:dyDescent="0.3">
      <c r="A3" s="1"/>
      <c r="B3" s="1"/>
    </row>
    <row r="4" spans="1:3" ht="16.5" thickTop="1" thickBot="1" x14ac:dyDescent="0.3">
      <c r="A4" s="25" t="s">
        <v>34</v>
      </c>
      <c r="B4" s="26" t="s">
        <v>35</v>
      </c>
      <c r="C4" s="27" t="s">
        <v>36</v>
      </c>
    </row>
    <row r="5" spans="1:3" ht="15.75" thickTop="1" x14ac:dyDescent="0.25">
      <c r="A5" s="23" t="s">
        <v>38</v>
      </c>
      <c r="B5" s="24">
        <v>5</v>
      </c>
      <c r="C5" s="28">
        <f>B5*$C$2</f>
        <v>2500</v>
      </c>
    </row>
    <row r="6" spans="1:3" x14ac:dyDescent="0.25">
      <c r="A6" s="21" t="s">
        <v>40</v>
      </c>
      <c r="B6" s="22">
        <v>8</v>
      </c>
      <c r="C6" s="28">
        <f t="shared" ref="C6:C8" si="0">B6*$C$2</f>
        <v>4000</v>
      </c>
    </row>
    <row r="7" spans="1:3" x14ac:dyDescent="0.25">
      <c r="A7" s="21" t="s">
        <v>39</v>
      </c>
      <c r="B7" s="22">
        <v>4</v>
      </c>
      <c r="C7" s="28">
        <f t="shared" si="0"/>
        <v>2000</v>
      </c>
    </row>
    <row r="8" spans="1:3" x14ac:dyDescent="0.25">
      <c r="A8" s="21" t="s">
        <v>41</v>
      </c>
      <c r="B8" s="22">
        <v>7</v>
      </c>
      <c r="C8" s="28">
        <f t="shared" si="0"/>
        <v>3500</v>
      </c>
    </row>
    <row r="9" spans="1:3" ht="15.75" thickBot="1" x14ac:dyDescent="0.3">
      <c r="A9" s="40" t="s">
        <v>30</v>
      </c>
      <c r="B9" s="41"/>
      <c r="C9" s="29">
        <f>C5+C6+C7+C8</f>
        <v>12000</v>
      </c>
    </row>
    <row r="10" spans="1:3" ht="15.75" thickTop="1" x14ac:dyDescent="0.25"/>
  </sheetData>
  <mergeCells count="2">
    <mergeCell ref="A2:B2"/>
    <mergeCell ref="A9:B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NoteElève </vt:lpstr>
      <vt:lpstr>Ventes</vt:lpstr>
      <vt:lpstr>Montant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[Auteur du cours]</dc:creator>
  <cp:lastModifiedBy>[Auteur du cours]</cp:lastModifiedBy>
  <dcterms:created xsi:type="dcterms:W3CDTF">2025-09-17T20:11:59Z</dcterms:created>
  <dcterms:modified xsi:type="dcterms:W3CDTF">2025-09-17T21:58:39Z</dcterms:modified>
</cp:coreProperties>
</file>