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docs\chapitre5\"/>
    </mc:Choice>
  </mc:AlternateContent>
  <xr:revisionPtr revIDLastSave="0" documentId="8_{9D0A3789-7075-4170-BCF3-2F8C229C7163}" xr6:coauthVersionLast="47" xr6:coauthVersionMax="47" xr10:uidLastSave="{00000000-0000-0000-0000-000000000000}"/>
  <bookViews>
    <workbookView xWindow="-120" yWindow="-120" windowWidth="20730" windowHeight="11160" activeTab="1" xr2:uid="{FE153E4C-B5E3-4C9F-ADDD-FA60F054CC5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  <c r="K2" i="1"/>
  <c r="D2" i="2" a="1"/>
  <c r="D2" i="2" s="1"/>
  <c r="C2" i="2" a="1"/>
  <c r="C2" i="2" s="1"/>
  <c r="B2" i="2" a="1"/>
  <c r="B2" i="2" s="1"/>
  <c r="J18" i="1"/>
  <c r="J17" i="1"/>
  <c r="J16" i="1"/>
  <c r="D14" i="1"/>
  <c r="E14" i="1"/>
  <c r="F14" i="1"/>
  <c r="C14" i="1"/>
  <c r="D13" i="1"/>
  <c r="E13" i="1"/>
  <c r="F13" i="1"/>
  <c r="C13" i="1"/>
  <c r="K3" i="1"/>
  <c r="K4" i="1"/>
  <c r="K5" i="1"/>
  <c r="K6" i="1"/>
  <c r="K7" i="1"/>
  <c r="K8" i="1"/>
  <c r="K9" i="1"/>
  <c r="K10" i="1"/>
  <c r="K11" i="1"/>
  <c r="H2" i="1"/>
  <c r="I6" i="1" s="1"/>
  <c r="I5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G2" i="1"/>
  <c r="I4" i="1" l="1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<sst xmlns="http://schemas.openxmlformats.org/spreadsheetml/2006/main" count="30" uniqueCount="25">
  <si>
    <t>numéro</t>
  </si>
  <si>
    <t>prénom</t>
  </si>
  <si>
    <t>note1</t>
  </si>
  <si>
    <t>note2</t>
  </si>
  <si>
    <t>note3</t>
  </si>
  <si>
    <t>note4</t>
  </si>
  <si>
    <t>somme</t>
  </si>
  <si>
    <t>moyenne</t>
  </si>
  <si>
    <t>rang</t>
  </si>
  <si>
    <t>mention</t>
  </si>
  <si>
    <t>Ahmed</t>
  </si>
  <si>
    <t>Imane</t>
  </si>
  <si>
    <t>Chaymae</t>
  </si>
  <si>
    <t>Hassan</t>
  </si>
  <si>
    <t>Rachid</t>
  </si>
  <si>
    <t>Amal</t>
  </si>
  <si>
    <t>Achraf</t>
  </si>
  <si>
    <t>Amine</t>
  </si>
  <si>
    <t>Sara</t>
  </si>
  <si>
    <t>Jihane</t>
  </si>
  <si>
    <t>NOTE MAXIMALE</t>
  </si>
  <si>
    <t>NOTE MINIMALE</t>
  </si>
  <si>
    <t>NOMBRE DES MOYENNES ≥ 10</t>
  </si>
  <si>
    <t>NOMBRE DES MOYENNES &lt;10</t>
  </si>
  <si>
    <t>Moyenne de la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</si>
</sst>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.00"/>
  </numFmts>
  <fonts count="9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4"/>
      <color theme="1"/>
      <name val="Times New Roman"/>
      <family val="1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Times New Roman"/>
      <family val="1"/>
    </font>
    <font>
      <b/>
      <sz val="14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0" xfId="0" applyFont="1"/>
    <xf numFmtId="0" fontId="2" fillId="0" borderId="3" xfId="0" applyFont="1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3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0" borderId="0" xfId="0" applyFont="1"/>
    <xf numFmtId="167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7" fontId="1" fillId="0" borderId="2" xfId="0" applyNumberFormat="1" applyFont="1" applyBorder="1" applyAlignment="1">
      <alignment vertical="center"/>
    </xf>
    <xf numFmtId="167" fontId="1" fillId="2" borderId="14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right" vertical="top"/>
    </xf>
    <xf numFmtId="0" fontId="8" fillId="0" borderId="5" xfId="0" applyFont="1" applyBorder="1" applyAlignment="1">
      <alignment vertical="top"/>
    </xf>
    <xf numFmtId="0" fontId="7" fillId="0" borderId="5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F4E5-280F-4BC9-8EF5-F209F768BB9E}">
  <dimension ref="A1:L18"/>
  <sheetViews>
    <sheetView workbookViewId="0">
      <selection activeCell="A5" sqref="A5:XFD5"/>
    </sheetView>
  </sheetViews>
  <sheetFormatPr baseColWidth="10" defaultRowHeight="15" x14ac:dyDescent="0.25"/>
  <cols>
    <col min="2" max="2" width="15.42578125" customWidth="1"/>
    <col min="9" max="9" width="9.140625" customWidth="1"/>
    <col min="10" max="10" width="11.42578125" hidden="1" customWidth="1"/>
    <col min="11" max="11" width="28" customWidth="1"/>
  </cols>
  <sheetData>
    <row r="1" spans="1:12" ht="29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 t="s">
        <v>9</v>
      </c>
    </row>
    <row r="2" spans="1:12" ht="24.75" customHeight="1" thickBot="1" x14ac:dyDescent="0.3">
      <c r="A2" s="3">
        <v>1</v>
      </c>
      <c r="B2" s="4" t="s">
        <v>10</v>
      </c>
      <c r="C2" s="31">
        <v>14</v>
      </c>
      <c r="D2" s="31">
        <v>12</v>
      </c>
      <c r="E2" s="31">
        <v>12</v>
      </c>
      <c r="F2" s="31">
        <v>18</v>
      </c>
      <c r="G2" s="32">
        <f>SUM(C2:F2)</f>
        <v>56</v>
      </c>
      <c r="H2" s="32">
        <f>AVERAGE(C2:F2)</f>
        <v>14</v>
      </c>
      <c r="I2" s="33">
        <f>RANK(H2,$H$2:$H$11,0)</f>
        <v>6</v>
      </c>
      <c r="J2" s="4"/>
      <c r="K2" s="4" t="str">
        <f t="shared" ref="K2:K11" si="0">IF(H2&gt;=18,"Excellent",IF(H2&gt;=16,"très bien",IF(H2&gt;=14,"Bien",IF(H2&gt;12,"Passable",IF(H2&gt;=8,"Insuffisant",IF(H2&gt;=5,"Faible","très faible"))))))</f>
        <v>Bien</v>
      </c>
    </row>
    <row r="3" spans="1:12" ht="24.75" customHeight="1" thickBot="1" x14ac:dyDescent="0.3">
      <c r="A3" s="3">
        <v>2</v>
      </c>
      <c r="B3" s="4" t="s">
        <v>11</v>
      </c>
      <c r="C3" s="31">
        <v>18</v>
      </c>
      <c r="D3" s="31">
        <v>20</v>
      </c>
      <c r="E3" s="31">
        <v>12</v>
      </c>
      <c r="F3" s="31">
        <v>14</v>
      </c>
      <c r="G3" s="32">
        <f t="shared" ref="G3:G11" si="1">SUM(C3:F3)</f>
        <v>64</v>
      </c>
      <c r="H3" s="32">
        <f t="shared" ref="H3:H11" si="2">AVERAGE(C3:F3)</f>
        <v>16</v>
      </c>
      <c r="I3" s="33">
        <f t="shared" ref="I3:I11" si="3">RANK(H3,$H$2:$H$11,0)</f>
        <v>2</v>
      </c>
      <c r="J3" s="4"/>
      <c r="K3" s="4" t="str">
        <f t="shared" si="0"/>
        <v>très bien</v>
      </c>
    </row>
    <row r="4" spans="1:12" ht="24.75" customHeight="1" thickBot="1" x14ac:dyDescent="0.3">
      <c r="A4" s="3">
        <v>3</v>
      </c>
      <c r="B4" s="4" t="s">
        <v>12</v>
      </c>
      <c r="C4" s="31">
        <v>8</v>
      </c>
      <c r="D4" s="31">
        <v>6</v>
      </c>
      <c r="E4" s="31">
        <v>11</v>
      </c>
      <c r="F4" s="31">
        <v>9</v>
      </c>
      <c r="G4" s="32">
        <f t="shared" si="1"/>
        <v>34</v>
      </c>
      <c r="H4" s="32">
        <f t="shared" si="2"/>
        <v>8.5</v>
      </c>
      <c r="I4" s="33">
        <f t="shared" si="3"/>
        <v>9</v>
      </c>
      <c r="J4" s="4"/>
      <c r="K4" s="4" t="str">
        <f t="shared" si="0"/>
        <v>Insuffisant</v>
      </c>
    </row>
    <row r="5" spans="1:12" ht="24.75" customHeight="1" thickBot="1" x14ac:dyDescent="0.3">
      <c r="A5" s="3">
        <v>4</v>
      </c>
      <c r="B5" s="4" t="s">
        <v>13</v>
      </c>
      <c r="C5" s="31">
        <v>18</v>
      </c>
      <c r="D5" s="31">
        <v>18</v>
      </c>
      <c r="E5" s="31">
        <v>14</v>
      </c>
      <c r="F5" s="31">
        <v>16</v>
      </c>
      <c r="G5" s="32">
        <f t="shared" si="1"/>
        <v>66</v>
      </c>
      <c r="H5" s="32">
        <f t="shared" si="2"/>
        <v>16.5</v>
      </c>
      <c r="I5" s="33">
        <f t="shared" si="3"/>
        <v>1</v>
      </c>
      <c r="J5" s="4"/>
      <c r="K5" s="4" t="str">
        <f t="shared" si="0"/>
        <v>très bien</v>
      </c>
    </row>
    <row r="6" spans="1:12" ht="24.75" customHeight="1" thickBot="1" x14ac:dyDescent="0.3">
      <c r="A6" s="3">
        <v>5</v>
      </c>
      <c r="B6" s="4" t="s">
        <v>14</v>
      </c>
      <c r="C6" s="31">
        <v>17</v>
      </c>
      <c r="D6" s="31">
        <v>18</v>
      </c>
      <c r="E6" s="31">
        <v>15</v>
      </c>
      <c r="F6" s="31">
        <v>10</v>
      </c>
      <c r="G6" s="32">
        <f t="shared" si="1"/>
        <v>60</v>
      </c>
      <c r="H6" s="32">
        <f t="shared" si="2"/>
        <v>15</v>
      </c>
      <c r="I6" s="33">
        <f t="shared" si="3"/>
        <v>4</v>
      </c>
      <c r="J6" s="4"/>
      <c r="K6" s="4" t="str">
        <f t="shared" si="0"/>
        <v>Bien</v>
      </c>
    </row>
    <row r="7" spans="1:12" ht="24.75" customHeight="1" thickBot="1" x14ac:dyDescent="0.3">
      <c r="A7" s="3">
        <v>6</v>
      </c>
      <c r="B7" s="4" t="s">
        <v>15</v>
      </c>
      <c r="C7" s="31">
        <v>17</v>
      </c>
      <c r="D7" s="31">
        <v>10</v>
      </c>
      <c r="E7" s="31">
        <v>17</v>
      </c>
      <c r="F7" s="31">
        <v>14</v>
      </c>
      <c r="G7" s="32">
        <f t="shared" si="1"/>
        <v>58</v>
      </c>
      <c r="H7" s="32">
        <f t="shared" si="2"/>
        <v>14.5</v>
      </c>
      <c r="I7" s="33">
        <f t="shared" si="3"/>
        <v>5</v>
      </c>
      <c r="J7" s="4"/>
      <c r="K7" s="4" t="str">
        <f t="shared" si="0"/>
        <v>Bien</v>
      </c>
    </row>
    <row r="8" spans="1:12" ht="24.75" customHeight="1" thickBot="1" x14ac:dyDescent="0.3">
      <c r="A8" s="3">
        <v>7</v>
      </c>
      <c r="B8" s="4" t="s">
        <v>16</v>
      </c>
      <c r="C8" s="31">
        <v>5</v>
      </c>
      <c r="D8" s="31">
        <v>11</v>
      </c>
      <c r="E8" s="31">
        <v>8</v>
      </c>
      <c r="F8" s="31">
        <v>6</v>
      </c>
      <c r="G8" s="32">
        <f t="shared" si="1"/>
        <v>30</v>
      </c>
      <c r="H8" s="32">
        <f t="shared" si="2"/>
        <v>7.5</v>
      </c>
      <c r="I8" s="33">
        <f t="shared" si="3"/>
        <v>10</v>
      </c>
      <c r="J8" s="4"/>
      <c r="K8" s="4" t="str">
        <f t="shared" si="0"/>
        <v>Faible</v>
      </c>
      <c r="L8" s="28"/>
    </row>
    <row r="9" spans="1:12" ht="24.75" customHeight="1" thickBot="1" x14ac:dyDescent="0.3">
      <c r="A9" s="3">
        <v>8</v>
      </c>
      <c r="B9" s="4" t="s">
        <v>17</v>
      </c>
      <c r="C9" s="31">
        <v>13</v>
      </c>
      <c r="D9" s="31">
        <v>14</v>
      </c>
      <c r="E9" s="31">
        <v>13</v>
      </c>
      <c r="F9" s="31">
        <v>12</v>
      </c>
      <c r="G9" s="32">
        <f t="shared" si="1"/>
        <v>52</v>
      </c>
      <c r="H9" s="32">
        <f t="shared" si="2"/>
        <v>13</v>
      </c>
      <c r="I9" s="33">
        <f t="shared" si="3"/>
        <v>8</v>
      </c>
      <c r="J9" s="4"/>
      <c r="K9" s="4" t="str">
        <f t="shared" si="0"/>
        <v>Passable</v>
      </c>
      <c r="L9" s="29"/>
    </row>
    <row r="10" spans="1:12" ht="24.75" customHeight="1" thickBot="1" x14ac:dyDescent="0.3">
      <c r="A10" s="3">
        <v>9</v>
      </c>
      <c r="B10" s="4" t="s">
        <v>18</v>
      </c>
      <c r="C10" s="31">
        <v>10</v>
      </c>
      <c r="D10" s="31">
        <v>11</v>
      </c>
      <c r="E10" s="31">
        <v>18</v>
      </c>
      <c r="F10" s="31">
        <v>15</v>
      </c>
      <c r="G10" s="32">
        <f t="shared" si="1"/>
        <v>54</v>
      </c>
      <c r="H10" s="32">
        <f t="shared" si="2"/>
        <v>13.5</v>
      </c>
      <c r="I10" s="33">
        <f t="shared" si="3"/>
        <v>7</v>
      </c>
      <c r="J10" s="4"/>
      <c r="K10" s="4" t="str">
        <f t="shared" si="0"/>
        <v>Passable</v>
      </c>
      <c r="L10" s="28"/>
    </row>
    <row r="11" spans="1:12" ht="24.75" customHeight="1" thickBot="1" x14ac:dyDescent="0.3">
      <c r="A11" s="3">
        <v>10</v>
      </c>
      <c r="B11" s="4" t="s">
        <v>19</v>
      </c>
      <c r="C11" s="31">
        <v>17</v>
      </c>
      <c r="D11" s="31">
        <v>18</v>
      </c>
      <c r="E11" s="31">
        <v>17</v>
      </c>
      <c r="F11" s="31">
        <v>10</v>
      </c>
      <c r="G11" s="32">
        <f t="shared" si="1"/>
        <v>62</v>
      </c>
      <c r="H11" s="32">
        <f t="shared" si="2"/>
        <v>15.5</v>
      </c>
      <c r="I11" s="33">
        <f t="shared" si="3"/>
        <v>3</v>
      </c>
      <c r="J11" s="4"/>
      <c r="K11" s="4" t="str">
        <f t="shared" si="0"/>
        <v>Bien</v>
      </c>
      <c r="L11" s="28"/>
    </row>
    <row r="12" spans="1:12" ht="24.75" customHeight="1" thickBot="1" x14ac:dyDescent="0.35">
      <c r="A12" s="5"/>
      <c r="B12" s="6"/>
      <c r="C12" s="6"/>
      <c r="D12" s="6"/>
      <c r="E12" s="6"/>
      <c r="F12" s="6"/>
      <c r="G12" s="6"/>
      <c r="H12" s="6"/>
      <c r="I12" s="7"/>
      <c r="J12" s="7"/>
      <c r="K12" s="8"/>
      <c r="L12" s="28"/>
    </row>
    <row r="13" spans="1:12" ht="24.75" customHeight="1" thickBot="1" x14ac:dyDescent="0.3">
      <c r="A13" s="9" t="s">
        <v>20</v>
      </c>
      <c r="B13" s="10"/>
      <c r="C13" s="34">
        <f>MAX(C2:C11)</f>
        <v>18</v>
      </c>
      <c r="D13" s="34">
        <f t="shared" ref="D13:F13" si="4">MAX(D2:D11)</f>
        <v>20</v>
      </c>
      <c r="E13" s="34">
        <f t="shared" si="4"/>
        <v>18</v>
      </c>
      <c r="F13" s="34">
        <f t="shared" si="4"/>
        <v>18</v>
      </c>
      <c r="G13" s="12"/>
      <c r="H13" s="12"/>
      <c r="I13" s="13"/>
      <c r="J13" s="14"/>
      <c r="K13" s="12"/>
      <c r="L13" s="28"/>
    </row>
    <row r="14" spans="1:12" ht="24.75" customHeight="1" thickBot="1" x14ac:dyDescent="0.3">
      <c r="A14" s="9" t="s">
        <v>21</v>
      </c>
      <c r="B14" s="10"/>
      <c r="C14" s="32">
        <f>MIN(C2:C11)</f>
        <v>5</v>
      </c>
      <c r="D14" s="32">
        <f t="shared" ref="D14:F14" si="5">MIN(D2:D11)</f>
        <v>6</v>
      </c>
      <c r="E14" s="32">
        <f t="shared" si="5"/>
        <v>8</v>
      </c>
      <c r="F14" s="32">
        <f t="shared" si="5"/>
        <v>6</v>
      </c>
      <c r="G14" s="15"/>
      <c r="H14" s="15"/>
      <c r="I14" s="13"/>
      <c r="J14" s="14"/>
      <c r="K14" s="15"/>
      <c r="L14" s="28"/>
    </row>
    <row r="15" spans="1:12" ht="24.75" customHeight="1" thickBot="1" x14ac:dyDescent="0.3">
      <c r="A15" s="16"/>
      <c r="B15" s="17"/>
      <c r="C15" s="18"/>
      <c r="D15" s="18"/>
      <c r="E15" s="18"/>
      <c r="F15" s="18"/>
      <c r="G15" s="18"/>
      <c r="H15" s="18"/>
      <c r="I15" s="19"/>
      <c r="J15" s="19"/>
      <c r="K15" s="20"/>
      <c r="L15" s="28"/>
    </row>
    <row r="16" spans="1:12" ht="24.75" customHeight="1" thickBot="1" x14ac:dyDescent="0.3">
      <c r="A16" s="21" t="s">
        <v>22</v>
      </c>
      <c r="B16" s="22"/>
      <c r="C16" s="22"/>
      <c r="D16" s="22"/>
      <c r="E16" s="22"/>
      <c r="F16" s="22"/>
      <c r="G16" s="23"/>
      <c r="H16" s="11"/>
      <c r="I16" s="24"/>
      <c r="J16" s="25">
        <f>COUNTIF(H2:H11,"&gt;=10")</f>
        <v>8</v>
      </c>
      <c r="K16" s="26"/>
      <c r="L16" s="30"/>
    </row>
    <row r="17" spans="1:11" ht="24.75" customHeight="1" thickBot="1" x14ac:dyDescent="0.3">
      <c r="A17" s="21" t="s">
        <v>23</v>
      </c>
      <c r="B17" s="22"/>
      <c r="C17" s="22"/>
      <c r="D17" s="22"/>
      <c r="E17" s="22"/>
      <c r="F17" s="22"/>
      <c r="G17" s="23"/>
      <c r="H17" s="4"/>
      <c r="I17" s="27"/>
      <c r="J17" s="25">
        <f>COUNTIF(H2:H11,"&lt;10")</f>
        <v>2</v>
      </c>
      <c r="K17" s="26"/>
    </row>
    <row r="18" spans="1:11" ht="24.75" customHeight="1" thickBot="1" x14ac:dyDescent="0.3">
      <c r="A18" s="21" t="s">
        <v>24</v>
      </c>
      <c r="B18" s="22"/>
      <c r="C18" s="22"/>
      <c r="D18" s="22"/>
      <c r="E18" s="22"/>
      <c r="F18" s="22"/>
      <c r="G18" s="23"/>
      <c r="H18" s="4"/>
      <c r="I18" s="27"/>
      <c r="J18" s="35">
        <f>AVERAGE(H2:H11)</f>
        <v>13.4</v>
      </c>
      <c r="K18" s="26"/>
    </row>
  </sheetData>
  <mergeCells count="12">
    <mergeCell ref="A17:G17"/>
    <mergeCell ref="J17:K17"/>
    <mergeCell ref="A18:G18"/>
    <mergeCell ref="J18:K18"/>
    <mergeCell ref="A13:B13"/>
    <mergeCell ref="I13:J13"/>
    <mergeCell ref="A14:B14"/>
    <mergeCell ref="I14:J14"/>
    <mergeCell ref="I15:J15"/>
    <mergeCell ref="A16:G16"/>
    <mergeCell ref="J16:K16"/>
    <mergeCell ref="I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4F3C-7DB7-4401-8EC5-8937267EAA35}">
  <dimension ref="A1:E2"/>
  <sheetViews>
    <sheetView tabSelected="1" workbookViewId="0">
      <selection activeCell="A3" sqref="A3"/>
    </sheetView>
  </sheetViews>
  <sheetFormatPr baseColWidth="10" defaultRowHeight="15" x14ac:dyDescent="0.25"/>
  <cols>
    <col min="1" max="1" width="22.140625" customWidth="1"/>
    <col min="2" max="2" width="35.85546875" customWidth="1"/>
    <col min="3" max="3" width="16.140625" customWidth="1"/>
    <col min="4" max="4" width="12.5703125" customWidth="1"/>
    <col min="5" max="5" width="35.85546875" customWidth="1"/>
  </cols>
  <sheetData>
    <row r="1" spans="1:5" ht="30" customHeight="1" thickBot="1" x14ac:dyDescent="0.3">
      <c r="A1" s="36" t="s">
        <v>0</v>
      </c>
      <c r="B1" s="37" t="s">
        <v>1</v>
      </c>
      <c r="C1" s="37" t="s">
        <v>7</v>
      </c>
      <c r="D1" s="37" t="s">
        <v>8</v>
      </c>
      <c r="E1" s="37" t="s">
        <v>9</v>
      </c>
    </row>
    <row r="2" spans="1:5" ht="30" customHeight="1" thickBot="1" x14ac:dyDescent="0.3">
      <c r="A2" s="38">
        <v>3</v>
      </c>
      <c r="B2" s="39" t="str" cm="1">
        <f t="array" ref="B2">INDEX(Feuil1!A2:K11,A2,2)</f>
        <v>Chaymae</v>
      </c>
      <c r="C2" s="40" cm="1">
        <f t="array" ref="C2">INDEX(Feuil1!A2:K11,A2,8)</f>
        <v>8.5</v>
      </c>
      <c r="D2" s="40" cm="1">
        <f t="array" ref="D2">INDEX(Feuil1!A2:K11,A2,9)</f>
        <v>9</v>
      </c>
      <c r="E2" s="40" t="str" cm="1">
        <f t="array" ref="E2">INDEX(Feuil1!K2:K11,A2)</f>
        <v>Insuffisant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[Auteur du cours]</dc:creator>
  <cp:lastModifiedBy>[Auteur du cours]</cp:lastModifiedBy>
  <dcterms:created xsi:type="dcterms:W3CDTF">2025-09-18T09:28:37Z</dcterms:created>
  <dcterms:modified xsi:type="dcterms:W3CDTF">2025-09-18T10:05:34Z</dcterms:modified>
</cp:coreProperties>
</file>